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51fef23684a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452503ff2144afd"/>
    <x:sheet xmlns:r="http://schemas.openxmlformats.org/officeDocument/2006/relationships" name="Products" sheetId="2" r:id="Re9c18b2cfa984516"/>
    <x:sheet xmlns:r="http://schemas.openxmlformats.org/officeDocument/2006/relationships" name="Customers" sheetId="3" r:id="Rd656bef41eef4ae9"/>
    <x:sheet xmlns:r="http://schemas.openxmlformats.org/officeDocument/2006/relationships" name="Sales &amp; Cart" sheetId="4" r:id="R35d87d476a63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"/>
    <x:numFmt numFmtId="201" formatCode="#,##0"/>
    <x:numFmt numFmtId="202" formatCode="dd-mmm-yyyy"/>
  </x:numFmts>
  <x:fonts count="11">
    <x:font>
      <x:sz val="11"/>
      <x:name val="Carlito"/>
    </x:font>
    <x:font>
      <x:b/>
      <x:sz val="16"/>
      <x:color rgb="FF24213B"/>
      <x:name val="Arial"/>
    </x:font>
    <x:font>
      <x:i/>
      <x:sz val="10"/>
      <x:color rgb="FF777384"/>
      <x:name val="Arial"/>
    </x:font>
    <x:font>
      <x:b/>
      <x:sz val="10"/>
      <x:color rgb="FFFFFFFF"/>
      <x:name val="Arial"/>
    </x:font>
    <x:font>
      <x:b/>
      <x:sz val="10"/>
      <x:color rgb="FF24213B"/>
      <x:name val="Arial"/>
    </x:font>
    <x:font>
      <x:b/>
      <x:sz val="16"/>
      <x:color rgb="FF6156B9"/>
      <x:name val="Arial"/>
    </x:font>
    <x:font>
      <x:sz val="10"/>
      <x:color rgb="FF555266"/>
      <x:name val="Arial"/>
    </x:font>
    <x:font>
      <x:b/>
      <x:sz val="11"/>
      <x:color rgb="FF24213B"/>
      <x:name val="Arial"/>
    </x:font>
    <x:font>
      <x:b/>
      <x:sz val="10"/>
      <x:color rgb="FF302D43"/>
      <x:name val="Arial"/>
    </x:font>
    <x:font>
      <x:sz val="10"/>
      <x:color rgb="FF302D43"/>
      <x:name val="Arial"/>
    </x:font>
    <x:font>
      <x:i/>
      <x:sz val="10"/>
      <x:color rgb="FF302D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213B"/>
      </x:patternFill>
    </x:fill>
    <x:fill>
      <x:patternFill patternType="solid">
        <x:fgColor rgb="FFF4F2FC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E7E4EB"/>
      </x:left>
      <x:top style="thin">
        <x:color rgb="FFE7E4EB"/>
      </x:top>
    </x:border>
    <x:border>
      <x:top style="thin">
        <x:color rgb="FFE7E4EB"/>
      </x:top>
    </x:border>
    <x:border>
      <x:right style="thin">
        <x:color rgb="FFE7E4EB"/>
      </x:right>
      <x:top style="thin">
        <x:color rgb="FFE7E4EB"/>
      </x:top>
    </x:border>
    <x:border>
      <x:left style="thin">
        <x:color rgb="FFE7E4EB"/>
      </x:left>
      <x:bottom style="thin">
        <x:color rgb="FFE7E4EB"/>
      </x:bottom>
    </x:border>
    <x:border>
      <x:bottom style="thin">
        <x:color rgb="FFE7E4EB"/>
      </x:bottom>
    </x:border>
    <x:border>
      <x:right style="thin">
        <x:color rgb="FFE7E4EB"/>
      </x:right>
      <x:bottom style="thin">
        <x:color rgb="FFE7E4EB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200" fontId="5" fillId="4" borderId="4" xfId="0" applyNumberFormat="1" applyFont="1" applyFill="1" applyBorder="1"/>
    <x:xf numFmtId="200" fontId="5" fillId="4" borderId="5" xfId="0" applyNumberFormat="1" applyFont="1" applyFill="1" applyBorder="1"/>
    <x:xf numFmtId="201" fontId="5" fillId="4" borderId="5" xfId="0" applyNumberFormat="1" applyFont="1" applyFill="1" applyBorder="1"/>
    <x:xf numFmtId="201" fontId="5" fillId="4" borderId="6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202" fontId="9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B63C45"/>
      </x:font>
      <x:fill>
        <x:patternFill patternType="solid">
          <x:bgColor rgb="FFFDEBED"/>
        </x:patternFill>
      </x:fill>
    </x:dxf>
    <x:dxf>
      <x:font>
        <x:color rgb="FF4F874D"/>
      </x:font>
      <x:fill>
        <x:patternFill patternType="solid">
          <x:bgColor rgb="FFEEF8ED"/>
        </x:patternFill>
      </x:fill>
    </x:dxf>
    <x:dxf>
      <x:font>
        <x:b/>
        <x:color rgb="FFB63C45"/>
      </x:font>
      <x:fill>
        <x:patternFill patternType="solid">
          <x:bgColor rgb="FFFDEBED"/>
        </x:patternFill>
      </x:fill>
    </x:dxf>
    <x:dxf>
      <x:font>
        <x:color rgb="FF4F874D"/>
      </x:font>
      <x:fill>
        <x:patternFill patternType="solid">
          <x:bgColor rgb="FFEEF8ED"/>
        </x:patternFill>
      </x:fill>
    </x:dxf>
    <x:dxf>
      <x:font>
        <x:b/>
        <x:color rgb="FFB63C45"/>
      </x:font>
      <x:fill>
        <x:patternFill patternType="solid">
          <x:bgColor rgb="FFFDEB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75a51a3ab47e6" /><Relationship Type="http://schemas.openxmlformats.org/officeDocument/2006/relationships/theme" Target="/xl/theme/theme1.xml" Id="R52e75ac8bbec4b24" /><Relationship Type="http://schemas.openxmlformats.org/officeDocument/2006/relationships/sharedStrings" Target="/xl/sharedStrings.xml" Id="R5d70895807244027" /><Relationship Type="http://schemas.openxmlformats.org/officeDocument/2006/relationships/worksheet" Target="/xl/worksheets/sheet1.xml" Id="R9452503ff2144afd" /><Relationship Type="http://schemas.openxmlformats.org/officeDocument/2006/relationships/worksheet" Target="/xl/worksheets/sheet2.xml" Id="Re9c18b2cfa984516" /><Relationship Type="http://schemas.openxmlformats.org/officeDocument/2006/relationships/worksheet" Target="/xl/worksheets/sheet3.xml" Id="Rd656bef41eef4ae9" /><Relationship Type="http://schemas.openxmlformats.org/officeDocument/2006/relationships/worksheet" Target="/xl/worksheets/sheet4.xml" Id="R35d87d476a6347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213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3" hidden="0" customWidth="1"/>
    <x:col min="4" max="4" width="16" hidden="0" customWidth="1"/>
    <x:col min="5" max="5" width="16" hidden="0" customWidth="1"/>
    <x:col min="6" max="6" width="21" hidden="0" customWidth="1"/>
    <x:col min="7" max="7" width="21" hidden="0" customWidth="1"/>
    <x:col min="8" max="8" width="21" hidden="0" customWidth="1"/>
  </x:cols>
  <x:sheetData>
    <x:row r="2" ht="28" customHeight="1">
      <x:c r="A2" s="1" t="str">
        <x:v>Annapoorna Stores — Sample Data Sheet</x:v>
      </x:c>
    </x:row>
    <x:row r="3">
      <x:c r="A3" s="2" t="str">
        <x:v>Sample operational workbook | September 2026</x:v>
      </x:c>
    </x:row>
    <x:row r="5">
      <x:c r="A5" s="13" t="str">
        <x:v>Today’s sales</x:v>
      </x:c>
      <x:c r="B5" s="14" t="str">
        <x:v>Outstanding credit</x:v>
      </x:c>
      <x:c r="C5" s="14" t="str">
        <x:v>Products</x:v>
      </x:c>
      <x:c r="D5" s="15" t="str">
        <x:v>Low-stock items</x:v>
      </x:c>
      <x:c r="E5" t="str"/>
      <x:c r="F5" s="6" t="str">
        <x:v>Quick guide</x:v>
      </x:c>
      <x:c r="G5" s="5" t="str"/>
      <x:c r="H5" s="5" t="str"/>
    </x:row>
    <x:row r="6">
      <x:c r="A6" s="16" t="n">
        <x:f>SUMIFS('Sales &amp; Cart'!$H$6:$H$11,'Sales &amp; Cart'!$A$6:$A$11,TODAY())</x:f>
        <x:v>725</x:v>
      </x:c>
      <x:c r="B6" s="17" t="n">
        <x:f>SUM(Customers!$F$5:$F$7)</x:f>
        <x:v>475</x:v>
      </x:c>
      <x:c r="C6" s="18" t="n">
        <x:f>COUNTA(Products!$A$5:$A$9)</x:f>
        <x:v>5</x:v>
      </x:c>
      <x:c r="D6" s="19" t="n">
        <x:f>COUNTIF(Products!$J$5:$J$9,"Low stock")</x:f>
        <x:v>2</x:v>
      </x:c>
      <x:c r="F6" s="20" t="str">
        <x:v>1</x:v>
      </x:c>
      <x:c r="G6" s="20" t="str">
        <x:v>Enter products and stock in Products</x:v>
      </x:c>
      <x:c r="H6" s="20"/>
    </x:row>
    <x:row r="7">
      <x:c r="F7" s="20" t="str">
        <x:v>2</x:v>
      </x:c>
      <x:c r="G7" s="20" t="str">
        <x:v>Maintain customer credit in Customers</x:v>
      </x:c>
      <x:c r="H7" s="20"/>
    </x:row>
    <x:row r="8">
      <x:c r="F8" s="20" t="str">
        <x:v>3</x:v>
      </x:c>
      <x:c r="G8" s="20" t="str">
        <x:v>Record each sale and cart item in Sales &amp; Cart</x:v>
      </x:c>
      <x:c r="H8" s="20"/>
    </x:row>
    <x:row r="10">
      <x:c r="A10" s="21" t="str">
        <x:v>Recent sales</x:v>
      </x:c>
      <x:c r="B10" s="5" t="str"/>
      <x:c r="C10" s="5" t="str"/>
      <x:c r="D10" s="5" t="str"/>
      <x:c r="E10" s="5" t="str"/>
      <x:c r="F10" s="5" t="str"/>
      <x:c r="G10" s="5" t="str"/>
      <x:c r="H10" s="5" t="str"/>
    </x:row>
    <x:row r="11" ht="23" customHeight="1">
      <x:c r="A11" s="23" t="str">
        <x:v>Date</x:v>
      </x:c>
      <x:c r="B11" s="23" t="str">
        <x:v>Invoice</x:v>
      </x:c>
      <x:c r="C11" s="23" t="str">
        <x:v>Customer</x:v>
      </x:c>
      <x:c r="D11" s="23" t="str">
        <x:v>Payment</x:v>
      </x:c>
      <x:c r="E11" s="23" t="str">
        <x:v>Total</x:v>
      </x:c>
    </x:row>
    <x:row r="12">
      <x:c r="A12" s="26" t="n">
        <x:f>'Sales &amp; Cart'!A6</x:f>
        <x:v>46288</x:v>
      </x:c>
      <x:c r="B12" s="27" t="str">
        <x:f>'Sales &amp; Cart'!B6</x:f>
        <x:v>INV-0001</x:v>
      </x:c>
      <x:c r="C12" s="27" t="str">
        <x:f>'Sales &amp; Cart'!C6</x:f>
        <x:v>Ravi Kumar</x:v>
      </x:c>
      <x:c r="D12" s="27" t="str">
        <x:f>'Sales &amp; Cart'!G6</x:f>
        <x:v>UPI</x:v>
      </x:c>
      <x:c r="E12" s="28" t="n">
        <x:f>'Sales &amp; Cart'!H6</x:f>
        <x:v>650</x:v>
      </x:c>
    </x:row>
    <x:row r="13">
      <x:c r="A13" s="26" t="n">
        <x:f>'Sales &amp; Cart'!A7</x:f>
        <x:v>46288</x:v>
      </x:c>
      <x:c r="B13" s="27" t="str">
        <x:f>'Sales &amp; Cart'!B7</x:f>
        <x:v>INV-0002</x:v>
      </x:c>
      <x:c r="C13" s="27" t="str">
        <x:f>'Sales &amp; Cart'!C7</x:f>
        <x:v>Walk-in customer</x:v>
      </x:c>
      <x:c r="D13" s="27" t="str">
        <x:f>'Sales &amp; Cart'!G7</x:f>
        <x:v>Cash</x:v>
      </x:c>
      <x:c r="E13" s="28" t="n">
        <x:f>'Sales &amp; Cart'!H7</x:f>
        <x:v>75</x:v>
      </x:c>
    </x:row>
    <x:row r="14">
      <x:c r="A14" s="26" t="n">
        <x:f>'Sales &amp; Cart'!A8</x:f>
        <x:v>46287</x:v>
      </x:c>
      <x:c r="B14" s="27" t="str">
        <x:f>'Sales &amp; Cart'!B8</x:f>
        <x:v>INV-0003</x:v>
      </x:c>
      <x:c r="C14" s="27" t="str">
        <x:f>'Sales &amp; Cart'!C8</x:f>
        <x:v>Arjun S</x:v>
      </x:c>
      <x:c r="D14" s="27" t="str">
        <x:f>'Sales &amp; Cart'!G8</x:f>
        <x:v>Credit</x:v>
      </x:c>
      <x:c r="E14" s="28" t="n">
        <x:f>'Sales &amp; Cart'!H8</x:f>
        <x:v>290</x:v>
      </x:c>
    </x:row>
    <x:row r="15">
      <x:c r="A15" s="26" t="n">
        <x:f>'Sales &amp; Cart'!A9</x:f>
        <x:v>46287</x:v>
      </x:c>
      <x:c r="B15" s="27" t="str">
        <x:f>'Sales &amp; Cart'!B9</x:f>
        <x:v>INV-0004</x:v>
      </x:c>
      <x:c r="C15" s="27" t="str">
        <x:f>'Sales &amp; Cart'!C9</x:f>
        <x:v>Meena Stores</x:v>
      </x:c>
      <x:c r="D15" s="27" t="str">
        <x:f>'Sales &amp; Cart'!G9</x:f>
        <x:v>UPI</x:v>
      </x:c>
      <x:c r="E15" s="28" t="n">
        <x:f>'Sales &amp; Cart'!H9</x:f>
        <x:v>300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156B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2" ht="28" customHeight="1">
      <x:c r="A2" s="29" t="str">
        <x:v>Product inventory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</x:row>
    <x:row r="4" ht="23" customHeight="1">
      <x:c r="A4" s="31" t="str">
        <x:v>Product ID</x:v>
      </x:c>
      <x:c r="B4" s="31" t="str">
        <x:v>Product name</x:v>
      </x:c>
      <x:c r="C4" s="31" t="str">
        <x:v>SKU</x:v>
      </x:c>
      <x:c r="D4" s="31" t="str">
        <x:v>Category</x:v>
      </x:c>
      <x:c r="E4" s="31" t="str">
        <x:v>Unit</x:v>
      </x:c>
      <x:c r="F4" s="31" t="str">
        <x:v>Cost price</x:v>
      </x:c>
      <x:c r="G4" s="31" t="str">
        <x:v>Selling price</x:v>
      </x:c>
      <x:c r="H4" s="31" t="str">
        <x:v>Current stock</x:v>
      </x:c>
      <x:c r="I4" s="31" t="str">
        <x:v>Reorder level</x:v>
      </x:c>
      <x:c r="J4" s="31" t="str">
        <x:v>Stock status</x:v>
      </x:c>
    </x:row>
    <x:row r="5">
      <x:c r="A5" s="32" t="n">
        <x:v>1</x:v>
      </x:c>
      <x:c r="B5" s="32" t="str">
        <x:v>Ponni Rice 5kg</x:v>
      </x:c>
      <x:c r="C5" s="32" t="str">
        <x:v>RIC-005</x:v>
      </x:c>
      <x:c r="D5" s="32" t="str">
        <x:v>Grains</x:v>
      </x:c>
      <x:c r="E5" s="32" t="str">
        <x:v>bag</x:v>
      </x:c>
      <x:c r="F5" s="33" t="n">
        <x:v>275</x:v>
      </x:c>
      <x:c r="G5" s="33" t="n">
        <x:v>325</x:v>
      </x:c>
      <x:c r="H5" s="32" t="n">
        <x:v>18</x:v>
      </x:c>
      <x:c r="I5" s="32" t="n">
        <x:v>8</x:v>
      </x:c>
      <x:c r="J5" s="32" t="str">
        <x:f>IF(H5&lt;=I5,"Low stock","In stock")</x:f>
        <x:v>In stock</x:v>
      </x:c>
    </x:row>
    <x:row r="6">
      <x:c r="A6" s="32" t="n">
        <x:v>2</x:v>
      </x:c>
      <x:c r="B6" s="32" t="str">
        <x:v>Aashirvaad Atta 5kg</x:v>
      </x:c>
      <x:c r="C6" s="32" t="str">
        <x:v>ATT-005</x:v>
      </x:c>
      <x:c r="D6" s="32" t="str">
        <x:v>Flour</x:v>
      </x:c>
      <x:c r="E6" s="32" t="str">
        <x:v>bag</x:v>
      </x:c>
      <x:c r="F6" s="33" t="n">
        <x:v>240</x:v>
      </x:c>
      <x:c r="G6" s="33" t="n">
        <x:v>285</x:v>
      </x:c>
      <x:c r="H6" s="32" t="n">
        <x:v>6</x:v>
      </x:c>
      <x:c r="I6" s="32" t="n">
        <x:v>8</x:v>
      </x:c>
      <x:c r="J6" s="32" t="str">
        <x:f>IF(H6&lt;=I6,"Low stock","In stock")</x:f>
        <x:v>Low stock</x:v>
      </x:c>
    </x:row>
    <x:row r="7">
      <x:c r="A7" s="32" t="n">
        <x:v>3</x:v>
      </x:c>
      <x:c r="B7" s="32" t="str">
        <x:v>Tata Salt 1kg</x:v>
      </x:c>
      <x:c r="C7" s="32" t="str">
        <x:v>SAL-001</x:v>
      </x:c>
      <x:c r="D7" s="32" t="str">
        <x:v>Essentials</x:v>
      </x:c>
      <x:c r="E7" s="32" t="str">
        <x:v>pack</x:v>
      </x:c>
      <x:c r="F7" s="33" t="n">
        <x:v>19</x:v>
      </x:c>
      <x:c r="G7" s="33" t="n">
        <x:v>25</x:v>
      </x:c>
      <x:c r="H7" s="32" t="n">
        <x:v>32</x:v>
      </x:c>
      <x:c r="I7" s="32" t="n">
        <x:v>12</x:v>
      </x:c>
      <x:c r="J7" s="32" t="str">
        <x:f>IF(H7&lt;=I7,"Low stock","In stock")</x:f>
        <x:v>In stock</x:v>
      </x:c>
    </x:row>
    <x:row r="8">
      <x:c r="A8" s="32" t="n">
        <x:v>4</x:v>
      </x:c>
      <x:c r="B8" s="32" t="str">
        <x:v>Fortune Sunflower Oil 1L</x:v>
      </x:c>
      <x:c r="C8" s="32" t="str">
        <x:v>OIL-001</x:v>
      </x:c>
      <x:c r="D8" s="32" t="str">
        <x:v>Oil</x:v>
      </x:c>
      <x:c r="E8" s="32" t="str">
        <x:v>bottle</x:v>
      </x:c>
      <x:c r="F8" s="33" t="n">
        <x:v>120</x:v>
      </x:c>
      <x:c r="G8" s="33" t="n">
        <x:v>145</x:v>
      </x:c>
      <x:c r="H8" s="32" t="n">
        <x:v>4</x:v>
      </x:c>
      <x:c r="I8" s="32" t="n">
        <x:v>6</x:v>
      </x:c>
      <x:c r="J8" s="32" t="str">
        <x:f>IF(H8&lt;=I8,"Low stock","In stock")</x:f>
        <x:v>Low stock</x:v>
      </x:c>
    </x:row>
    <x:row r="9">
      <x:c r="A9" s="32" t="n">
        <x:v>5</x:v>
      </x:c>
      <x:c r="B9" s="32" t="str">
        <x:v>Britannia Good Day</x:v>
      </x:c>
      <x:c r="C9" s="32" t="str">
        <x:v>BIS-100</x:v>
      </x:c>
      <x:c r="D9" s="32" t="str">
        <x:v>Snacks</x:v>
      </x:c>
      <x:c r="E9" s="32" t="str">
        <x:v>pack</x:v>
      </x:c>
      <x:c r="F9" s="33" t="n">
        <x:v>20</x:v>
      </x:c>
      <x:c r="G9" s="33" t="n">
        <x:v>30</x:v>
      </x:c>
      <x:c r="H9" s="32" t="n">
        <x:v>24</x:v>
      </x:c>
      <x:c r="I9" s="32" t="n">
        <x:v>10</x:v>
      </x:c>
      <x:c r="J9" s="32" t="str">
        <x:f>IF(H9&lt;=I9,"Low stock","In stock")</x:f>
        <x:v>In stock</x:v>
      </x:c>
    </x:row>
  </x:sheetData>
  <x:conditionalFormatting sqref="J5:J9">
    <x:cfRule type="containsText" dxfId="0" priority="1" operator="containsText" text="Low stock"/>
    <x:cfRule type="containsText" dxfId="1" priority="2" operator="containsText" text="In stoc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156B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</x:cols>
  <x:sheetData>
    <x:row r="2" ht="28" customHeight="1">
      <x:c r="A2" s="29" t="str">
        <x:v>Customer ledger</x:v>
      </x:c>
      <x:c r="B2" s="30"/>
      <x:c r="C2" s="30"/>
      <x:c r="D2" s="30"/>
      <x:c r="E2" s="30"/>
      <x:c r="F2" s="30"/>
      <x:c r="G2" s="30"/>
    </x:row>
    <x:row r="3">
      <x:c r="A3" s="30"/>
      <x:c r="B3" s="30"/>
      <x:c r="C3" s="30"/>
      <x:c r="D3" s="30"/>
      <x:c r="E3" s="30"/>
      <x:c r="F3" s="30"/>
      <x:c r="G3" s="30"/>
    </x:row>
    <x:row r="4" ht="23" customHeight="1">
      <x:c r="A4" s="31" t="str">
        <x:v>Customer ID</x:v>
      </x:c>
      <x:c r="B4" s="31" t="str">
        <x:v>Customer name</x:v>
      </x:c>
      <x:c r="C4" s="31" t="str">
        <x:v>Phone</x:v>
      </x:c>
      <x:c r="D4" s="31" t="str">
        <x:v>Address</x:v>
      </x:c>
      <x:c r="E4" s="31" t="str">
        <x:v>Type</x:v>
      </x:c>
      <x:c r="F4" s="31" t="str">
        <x:v>Outstanding credit</x:v>
      </x:c>
      <x:c r="G4" s="31" t="str">
        <x:v>Credit status</x:v>
      </x:c>
    </x:row>
    <x:row r="5">
      <x:c r="A5" s="32" t="n">
        <x:v>1</x:v>
      </x:c>
      <x:c r="B5" s="32" t="str">
        <x:v>Ravi Kumar</x:v>
      </x:c>
      <x:c r="C5" s="32" t="str">
        <x:v>+91 98401 22334</x:v>
      </x:c>
      <x:c r="D5" s="32" t="str">
        <x:v>T Nagar</x:v>
      </x:c>
      <x:c r="E5" s="32" t="str">
        <x:v>Regular</x:v>
      </x:c>
      <x:c r="F5" s="33" t="n">
        <x:v>350</x:v>
      </x:c>
      <x:c r="G5" s="32" t="str">
        <x:f>IF(F5&gt;0,"Credit due","Settled")</x:f>
        <x:v>Credit due</x:v>
      </x:c>
    </x:row>
    <x:row r="6">
      <x:c r="A6" s="32" t="n">
        <x:v>2</x:v>
      </x:c>
      <x:c r="B6" s="32" t="str">
        <x:v>Meena Stores</x:v>
      </x:c>
      <x:c r="C6" s="32" t="str">
        <x:v>+91 98840 99111</x:v>
      </x:c>
      <x:c r="D6" s="32" t="str">
        <x:v>Mylapore</x:v>
      </x:c>
      <x:c r="E6" s="32" t="str">
        <x:v>Wholesale</x:v>
      </x:c>
      <x:c r="F6" s="33" t="n">
        <x:v>0</x:v>
      </x:c>
      <x:c r="G6" s="32" t="str">
        <x:f>IF(F6&gt;0,"Credit due","Settled")</x:f>
        <x:v>Settled</x:v>
      </x:c>
    </x:row>
    <x:row r="7">
      <x:c r="A7" s="32" t="n">
        <x:v>3</x:v>
      </x:c>
      <x:c r="B7" s="32" t="str">
        <x:v>Arjun S</x:v>
      </x:c>
      <x:c r="C7" s="32" t="str">
        <x:v>+91 97910 55221</x:v>
      </x:c>
      <x:c r="D7" s="32" t="str">
        <x:v>Adyar</x:v>
      </x:c>
      <x:c r="E7" s="32" t="str">
        <x:v>Regular</x:v>
      </x:c>
      <x:c r="F7" s="33" t="n">
        <x:v>125</x:v>
      </x:c>
      <x:c r="G7" s="32" t="str">
        <x:f>IF(F7&gt;0,"Credit due","Settled")</x:f>
        <x:v>Credit due</x:v>
      </x:c>
    </x:row>
  </x:sheetData>
  <x:conditionalFormatting sqref="G5:G7">
    <x:cfRule type="containsText" dxfId="2" priority="1" operator="containsText" text="Credit due"/>
    <x:cfRule type="containsText" dxfId="3" priority="2" operator="containsText" text="Settl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156B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2" ht="28" customHeight="1">
      <x:c r="A2" s="29" t="str">
        <x:v>Sales and cart line items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4" t="str">
        <x:v>Each row represents one sold item. Repeated invoice numbers belong to the same cart.</x:v>
      </x:c>
      <x:c r="B3" s="30"/>
      <x:c r="C3" s="30"/>
      <x:c r="D3" s="30"/>
      <x:c r="E3" s="30"/>
      <x:c r="F3" s="30"/>
      <x:c r="G3" s="30"/>
      <x:c r="H3" s="30"/>
      <x:c r="I3" s="30"/>
      <x:c r="J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</x:row>
    <x:row r="5" ht="23" customHeight="1">
      <x:c r="A5" s="31" t="str">
        <x:v>Sale date</x:v>
      </x:c>
      <x:c r="B5" s="31" t="str">
        <x:v>Invoice no.</x:v>
      </x:c>
      <x:c r="C5" s="31" t="str">
        <x:v>Customer</x:v>
      </x:c>
      <x:c r="D5" s="31" t="str">
        <x:v>Product</x:v>
      </x:c>
      <x:c r="E5" s="31" t="str">
        <x:v>SKU</x:v>
      </x:c>
      <x:c r="F5" s="31" t="str">
        <x:v>Quantity</x:v>
      </x:c>
      <x:c r="G5" s="31" t="str">
        <x:v>Payment mode</x:v>
      </x:c>
      <x:c r="H5" s="31" t="str">
        <x:v>Line total</x:v>
      </x:c>
      <x:c r="I5" s="31" t="str">
        <x:v>Amount paid</x:v>
      </x:c>
      <x:c r="J5" s="31" t="str">
        <x:v>Credit added</x:v>
      </x:c>
    </x:row>
    <x:row r="6">
      <x:c r="A6" s="35" t="n">
        <x:v>46288</x:v>
      </x:c>
      <x:c r="B6" s="32" t="str">
        <x:v>INV-0001</x:v>
      </x:c>
      <x:c r="C6" s="32" t="str">
        <x:v>Ravi Kumar</x:v>
      </x:c>
      <x:c r="D6" s="32" t="str">
        <x:v>Ponni Rice 5kg</x:v>
      </x:c>
      <x:c r="E6" s="32" t="str">
        <x:v>RIC-005</x:v>
      </x:c>
      <x:c r="F6" s="32" t="n">
        <x:v>2</x:v>
      </x:c>
      <x:c r="G6" s="32" t="str">
        <x:v>UPI</x:v>
      </x:c>
      <x:c r="H6" s="33" t="n">
        <x:v>650</x:v>
      </x:c>
      <x:c r="I6" s="33" t="n">
        <x:v>650</x:v>
      </x:c>
      <x:c r="J6" s="33" t="n">
        <x:f>H6-I6</x:f>
        <x:v>0</x:v>
      </x:c>
    </x:row>
    <x:row r="7">
      <x:c r="A7" s="35" t="n">
        <x:v>46288</x:v>
      </x:c>
      <x:c r="B7" s="32" t="str">
        <x:v>INV-0002</x:v>
      </x:c>
      <x:c r="C7" s="32" t="str">
        <x:v>Walk-in customer</x:v>
      </x:c>
      <x:c r="D7" s="32" t="str">
        <x:v>Tata Salt 1kg</x:v>
      </x:c>
      <x:c r="E7" s="32" t="str">
        <x:v>SAL-001</x:v>
      </x:c>
      <x:c r="F7" s="32" t="n">
        <x:v>3</x:v>
      </x:c>
      <x:c r="G7" s="32" t="str">
        <x:v>Cash</x:v>
      </x:c>
      <x:c r="H7" s="33" t="n">
        <x:v>75</x:v>
      </x:c>
      <x:c r="I7" s="33" t="n">
        <x:v>75</x:v>
      </x:c>
      <x:c r="J7" s="33" t="n">
        <x:f>H7-I7</x:f>
        <x:v>0</x:v>
      </x:c>
    </x:row>
    <x:row r="8">
      <x:c r="A8" s="35" t="n">
        <x:v>46287</x:v>
      </x:c>
      <x:c r="B8" s="32" t="str">
        <x:v>INV-0003</x:v>
      </x:c>
      <x:c r="C8" s="32" t="str">
        <x:v>Arjun S</x:v>
      </x:c>
      <x:c r="D8" s="32" t="str">
        <x:v>Fortune Sunflower Oil 1L</x:v>
      </x:c>
      <x:c r="E8" s="32" t="str">
        <x:v>OIL-001</x:v>
      </x:c>
      <x:c r="F8" s="32" t="n">
        <x:v>2</x:v>
      </x:c>
      <x:c r="G8" s="32" t="str">
        <x:v>Credit</x:v>
      </x:c>
      <x:c r="H8" s="33" t="n">
        <x:v>290</x:v>
      </x:c>
      <x:c r="I8" s="33" t="n">
        <x:v>0</x:v>
      </x:c>
      <x:c r="J8" s="33" t="n">
        <x:f>H8-I8</x:f>
        <x:v>290</x:v>
      </x:c>
    </x:row>
    <x:row r="9">
      <x:c r="A9" s="35" t="n">
        <x:v>46287</x:v>
      </x:c>
      <x:c r="B9" s="32" t="str">
        <x:v>INV-0004</x:v>
      </x:c>
      <x:c r="C9" s="32" t="str">
        <x:v>Meena Stores</x:v>
      </x:c>
      <x:c r="D9" s="32" t="str">
        <x:v>Britannia Good Day</x:v>
      </x:c>
      <x:c r="E9" s="32" t="str">
        <x:v>BIS-100</x:v>
      </x:c>
      <x:c r="F9" s="32" t="n">
        <x:v>10</x:v>
      </x:c>
      <x:c r="G9" s="32" t="str">
        <x:v>UPI</x:v>
      </x:c>
      <x:c r="H9" s="33" t="n">
        <x:v>300</x:v>
      </x:c>
      <x:c r="I9" s="33" t="n">
        <x:v>300</x:v>
      </x:c>
      <x:c r="J9" s="33" t="n">
        <x:f>H9-I9</x:f>
        <x:v>0</x:v>
      </x:c>
    </x:row>
    <x:row r="10">
      <x:c r="A10" s="35" t="n">
        <x:v>46286</x:v>
      </x:c>
      <x:c r="B10" s="32" t="str">
        <x:v>INV-0005</x:v>
      </x:c>
      <x:c r="C10" s="32" t="str">
        <x:v>Ravi Kumar</x:v>
      </x:c>
      <x:c r="D10" s="32" t="str">
        <x:v>Aashirvaad Atta 5kg</x:v>
      </x:c>
      <x:c r="E10" s="32" t="str">
        <x:v>ATT-005</x:v>
      </x:c>
      <x:c r="F10" s="32" t="n">
        <x:v>1</x:v>
      </x:c>
      <x:c r="G10" s="32" t="str">
        <x:v>Cash</x:v>
      </x:c>
      <x:c r="H10" s="33" t="n">
        <x:v>285</x:v>
      </x:c>
      <x:c r="I10" s="33" t="n">
        <x:v>285</x:v>
      </x:c>
      <x:c r="J10" s="33" t="n">
        <x:f>H10-I10</x:f>
        <x:v>0</x:v>
      </x:c>
    </x:row>
    <x:row r="11">
      <x:c r="A11" s="35" t="n">
        <x:v>46286</x:v>
      </x:c>
      <x:c r="B11" s="32" t="str">
        <x:v>INV-0005</x:v>
      </x:c>
      <x:c r="C11" s="32" t="str">
        <x:v>Ravi Kumar</x:v>
      </x:c>
      <x:c r="D11" s="32" t="str">
        <x:v>Tata Salt 1kg</x:v>
      </x:c>
      <x:c r="E11" s="32" t="str">
        <x:v>SAL-001</x:v>
      </x:c>
      <x:c r="F11" s="32" t="n">
        <x:v>2</x:v>
      </x:c>
      <x:c r="G11" s="32" t="str">
        <x:v>Cash</x:v>
      </x:c>
      <x:c r="H11" s="33" t="n">
        <x:v>50</x:v>
      </x:c>
      <x:c r="I11" s="33" t="n">
        <x:v>0</x:v>
      </x:c>
      <x:c r="J11" s="33" t="n">
        <x:f>H11-I11</x:f>
        <x:v>50</x:v>
      </x:c>
    </x:row>
  </x:sheetData>
  <x:conditionalFormatting sqref="J6:J11">
    <x:cfRule type="cellIs" dxfId="4" priority="1" operator="greaterThan">
      <x:formula>0</x:formula>
    </x:cfRule>
  </x:conditionalFormatting>
  <x:pageMargins left="0.7" right="0.7" top="0.75" bottom="0.75" header="0.3" footer="0.3"/>
</x:worksheet>
</file>